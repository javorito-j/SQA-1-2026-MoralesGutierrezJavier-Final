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ean\Downloads\"/>
    </mc:Choice>
  </mc:AlternateContent>
  <xr:revisionPtr revIDLastSave="0" documentId="13_ncr:1_{AE4A2F90-953A-4CE8-A1B6-EDA97A971240}" xr6:coauthVersionLast="47" xr6:coauthVersionMax="47" xr10:uidLastSave="{00000000-0000-0000-0000-000000000000}"/>
  <bookViews>
    <workbookView xWindow="-98" yWindow="-98" windowWidth="21795" windowHeight="12345" tabRatio="500" activeTab="4" xr2:uid="{00000000-000D-0000-FFFF-FFFF00000000}"/>
  </bookViews>
  <sheets>
    <sheet name="Equipo" sheetId="1" r:id="rId1"/>
    <sheet name="Gestion de Modulos" sheetId="2" r:id="rId2"/>
    <sheet name="Test Plan" sheetId="3" r:id="rId3"/>
    <sheet name="Stats" sheetId="4" r:id="rId4"/>
    <sheet name="Tipos de Pruebas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3" i="4" l="1"/>
  <c r="B22" i="4"/>
  <c r="B21" i="4"/>
  <c r="B24" i="4" s="1"/>
  <c r="D14" i="4"/>
  <c r="C14" i="4"/>
  <c r="B14" i="4"/>
  <c r="E14" i="4" s="1"/>
  <c r="D13" i="4"/>
  <c r="C13" i="4"/>
  <c r="B13" i="4"/>
  <c r="E13" i="4" s="1"/>
  <c r="D12" i="4"/>
  <c r="C12" i="4"/>
  <c r="B12" i="4"/>
  <c r="E12" i="4" s="1"/>
  <c r="D11" i="4"/>
  <c r="C11" i="4"/>
  <c r="B11" i="4"/>
  <c r="E11" i="4" s="1"/>
  <c r="D10" i="4"/>
  <c r="C10" i="4"/>
  <c r="B10" i="4"/>
  <c r="E10" i="4" s="1"/>
  <c r="D9" i="4"/>
  <c r="C9" i="4"/>
  <c r="B9" i="4"/>
  <c r="E9" i="4" s="1"/>
  <c r="D8" i="4"/>
  <c r="C8" i="4"/>
  <c r="B8" i="4"/>
  <c r="E8" i="4" s="1"/>
  <c r="D7" i="4"/>
  <c r="C7" i="4"/>
  <c r="B7" i="4"/>
  <c r="E7" i="4" s="1"/>
  <c r="D6" i="4"/>
  <c r="C6" i="4"/>
  <c r="B6" i="4"/>
  <c r="E6" i="4" s="1"/>
  <c r="D5" i="4"/>
  <c r="C5" i="4"/>
  <c r="B5" i="4"/>
  <c r="E5" i="4" s="1"/>
  <c r="D4" i="4"/>
  <c r="D15" i="4" s="1"/>
  <c r="C4" i="4"/>
  <c r="C15" i="4" s="1"/>
  <c r="B4" i="4"/>
  <c r="B15" i="4" s="1"/>
  <c r="C22" i="4" l="1"/>
  <c r="C23" i="4"/>
  <c r="E4" i="4"/>
  <c r="E15" i="4" s="1"/>
  <c r="C21" i="4"/>
  <c r="C24" i="4" s="1"/>
</calcChain>
</file>

<file path=xl/sharedStrings.xml><?xml version="1.0" encoding="utf-8"?>
<sst xmlns="http://schemas.openxmlformats.org/spreadsheetml/2006/main" count="322" uniqueCount="237">
  <si>
    <t>EQUIPO DE TRABAJO - PROYECTO PANDA NAICHA</t>
  </si>
  <si>
    <t>Proyecto</t>
  </si>
  <si>
    <t>Sistema Web de Gestión Centralizada de Ventas con Árboles de Decisiones - Panda Naicha</t>
  </si>
  <si>
    <t>Materia</t>
  </si>
  <si>
    <t>Proyecto de Sistemas 3</t>
  </si>
  <si>
    <t>Fecha de entrega</t>
  </si>
  <si>
    <t>11/06/2026</t>
  </si>
  <si>
    <t>INTEGRANTES</t>
  </si>
  <si>
    <t>NOMBRE COMPLETO</t>
  </si>
  <si>
    <t>Integrante 1</t>
  </si>
  <si>
    <t>Integrante 2</t>
  </si>
  <si>
    <t>Integrante 3</t>
  </si>
  <si>
    <t>MODULOS</t>
  </si>
  <si>
    <t>Login</t>
  </si>
  <si>
    <t>Gestion Usuarios</t>
  </si>
  <si>
    <t>Apertura de Turno</t>
  </si>
  <si>
    <t>Registro de Ventas</t>
  </si>
  <si>
    <t>Movimientos de Caja</t>
  </si>
  <si>
    <t>Cierre de Turno</t>
  </si>
  <si>
    <t>Arbol de Decisiones</t>
  </si>
  <si>
    <t>Reportes</t>
  </si>
  <si>
    <t>Vitrina Publica</t>
  </si>
  <si>
    <t>Mapa Google Maps</t>
  </si>
  <si>
    <t>Validacion de Botones</t>
  </si>
  <si>
    <t>Modulo (Dropdown)</t>
  </si>
  <si>
    <t>Test Case</t>
  </si>
  <si>
    <t>Descripción</t>
  </si>
  <si>
    <t>Precondiciones</t>
  </si>
  <si>
    <t>Resultado Esperado</t>
  </si>
  <si>
    <t>Resultado Actual (Si falla)</t>
  </si>
  <si>
    <t>Ultima ejecución (Fecha)</t>
  </si>
  <si>
    <t>Estado (Dropdown)</t>
  </si>
  <si>
    <t>Comentario</t>
  </si>
  <si>
    <t>Inicio de sesion con credenciales validas</t>
  </si>
  <si>
    <t>El sistema valida usuario y contrasena y redirige al panel segun el rol del usuario autenticado.</t>
  </si>
  <si>
    <t>Existir al menos un usuario activo en la base de datos (admin o cajero).</t>
  </si>
  <si>
    <t>Redireccion al panel administrativo (/admin/dashboard) o al modulo de turno (/cajero) segun corresponda. Sesion Laravel generada y cookie segura emitida.</t>
  </si>
  <si>
    <t>PASS</t>
  </si>
  <si>
    <t>Validado para admin y cajero</t>
  </si>
  <si>
    <t>Login con credenciales invalidas</t>
  </si>
  <si>
    <t>El sistema rechaza el intento de login y muestra un mensaje de error sin revelar si el problema es el usuario o la contrasena.</t>
  </si>
  <si>
    <t>No haber iniciado sesion previamente.</t>
  </si>
  <si>
    <t>Mensaje de error generico mostrado en pantalla. Permanece en la vista de login sin generar sesion.</t>
  </si>
  <si>
    <t>Mensaje generico por seguridad</t>
  </si>
  <si>
    <t>Cierre de sesion (logout)</t>
  </si>
  <si>
    <t>El sistema cierra la sesion activa del usuario y lo redirige a la pantalla de login.</t>
  </si>
  <si>
    <t>Tener una sesion activa iniciada.</t>
  </si>
  <si>
    <t>Sesion destruida en el servidor. Cookie eliminada del navegador. Redireccion a /login.</t>
  </si>
  <si>
    <t>Crear nuevo cajero</t>
  </si>
  <si>
    <t>El administrador puede registrar un nuevo cajero con nombre, username, contrasena y sucursal asignada.</t>
  </si>
  <si>
    <t>Tener sesion activa como administrador.</t>
  </si>
  <si>
    <t>Usuario creado en la tabla users con rol cajero, password almacenada como hash bcrypt y registro visible en el listado.</t>
  </si>
  <si>
    <t>Password se almacena hasheada</t>
  </si>
  <si>
    <t>Listar usuarios del sistema</t>
  </si>
  <si>
    <t>El administrador visualiza el listado de todos los usuarios registrados, paginado y filtrable por rol.</t>
  </si>
  <si>
    <t>Tener sesion activa como administrador. Existir al menos un usuario adicional.</t>
  </si>
  <si>
    <t>Tabla mostrando id, nombre, username, rol, estado y acciones disponibles para cada registro.</t>
  </si>
  <si>
    <t>Editar datos de un cajero existente</t>
  </si>
  <si>
    <t>El administrador modifica el nombre, email o sucursal de un cajero ya registrado.</t>
  </si>
  <si>
    <t>Tener sesion activa como administrador. Existir el cajero a editar.</t>
  </si>
  <si>
    <t>Cambios persistidos en la tabla users. Confirmacion visual mostrada y datos actualizados en el listado.</t>
  </si>
  <si>
    <t>Desactivar cajero</t>
  </si>
  <si>
    <t>El administrador desactiva un cajero existente impidiendole iniciar sesion sin eliminar el registro de la base de datos.</t>
  </si>
  <si>
    <t>Tener sesion activa como administrador. Existir un cajero activo.</t>
  </si>
  <si>
    <t>Campo is_active del usuario actualizado a false. El cajero ya no puede iniciar sesion y sus datos historicos se preservan.</t>
  </si>
  <si>
    <t>Soft delete - preserva historico</t>
  </si>
  <si>
    <t>Apertura de turno por administrador</t>
  </si>
  <si>
    <t>El administrador apertura un turno para un cajero registrando el stock inicial por producto.</t>
  </si>
  <si>
    <t>Tener sesion activa como administrador. El cajero no debe tener un turno OPEN activo.</t>
  </si>
  <si>
    <t>Registro creado en la tabla shifts con status OPEN, registros en shift_stocks con cantidades iniciales, y timestamp de apertura.</t>
  </si>
  <si>
    <t>Cajero NO abre su propio turno por diseno</t>
  </si>
  <si>
    <t>Validacion de stock inicial obligatorio</t>
  </si>
  <si>
    <t>El sistema impide aperturar un turno sin ingresar el stock inicial de los productos.</t>
  </si>
  <si>
    <t>Tener sesion activa como administrador. Intentar aperturar dejando campos de stock vacios.</t>
  </si>
  <si>
    <t>Mensaje de validacion mostrado en formulario. No se crea registro en shifts ni en shift_stocks.</t>
  </si>
  <si>
    <t>Pantalla de espera del cajero sin turno asignado</t>
  </si>
  <si>
    <t>El cajero que inicia sesion sin un turno aperturado por el admin ve una pantalla de espera y no puede acceder a ventas.</t>
  </si>
  <si>
    <t>Tener sesion activa como cajero. No existir un turno OPEN asociado al cajero.</t>
  </si>
  <si>
    <t>Redireccion automatica a /cajero/turno/espera. No se permite navegar a /cajero/ventas hasta que el admin apertura un turno.</t>
  </si>
  <si>
    <t>Decision de diseno documentada</t>
  </si>
  <si>
    <t>Registro de venta en efectivo</t>
  </si>
  <si>
    <t>El cajero registra una venta seleccionando producto, cantidad y metodo de pago CASH.</t>
  </si>
  <si>
    <t>Tener sesion activa como cajero con turno OPEN. Existir productos activos con stock disponible.</t>
  </si>
  <si>
    <t>Registro creado en sales con payment_method=CASH y status=COMPLETED. Detalles en sale_details. Stock descontado en shift_stocks. Total del turno actualizado.</t>
  </si>
  <si>
    <t>Registro de venta por QR</t>
  </si>
  <si>
    <t>El cajero registra una venta seleccionando el metodo de pago QR.</t>
  </si>
  <si>
    <t>Tener sesion activa como cajero con turno OPEN.</t>
  </si>
  <si>
    <t>Registro creado en sales con payment_method=QR. La proporcion de ventas QR se actualiza para el calculo del arbol de decisiones al cierre.</t>
  </si>
  <si>
    <t>Relevante para el arbol de decisiones</t>
  </si>
  <si>
    <t>Validacion de venta sin turno activo</t>
  </si>
  <si>
    <t>El sistema impide registrar ventas si no existe un turno OPEN para el cajero.</t>
  </si>
  <si>
    <t>Tener sesion como cajero sin turno aperturado.</t>
  </si>
  <si>
    <t>Acceso bloqueado a /cajero/ventas. Mensaje informando que requiere turno aperturado por el administrador.</t>
  </si>
  <si>
    <t>Registro de egreso operativo</t>
  </si>
  <si>
    <t>El cajero registra un egreso indicando monto, categoria y descripcion.</t>
  </si>
  <si>
    <t>Tener turno OPEN activo.</t>
  </si>
  <si>
    <t>Registro creado en cash_movements con movement_type=EXPENSE. El egreso se descuenta del total esperado al momento del cierre.</t>
  </si>
  <si>
    <t>Registro de ingreso extraordinario</t>
  </si>
  <si>
    <t>El cajero registra un ingreso extraordinario (ejemplo: pago de cliente pendiente) con descripcion justificativa.</t>
  </si>
  <si>
    <t>Registro creado en cash_movements con movement_type=INCOME. El ingreso suma al total esperado del turno.</t>
  </si>
  <si>
    <t>Validacion de movimiento sin descripcion</t>
  </si>
  <si>
    <t>El sistema obliga al cajero a ingresar una descripcion al registrar un egreso o ingreso para mantener trazabilidad.</t>
  </si>
  <si>
    <t>Tener turno OPEN activo. Intentar registrar movimiento sin descripcion.</t>
  </si>
  <si>
    <t>Mensaje de validacion mostrado. No se crea el registro en cash_movements hasta completar el campo.</t>
  </si>
  <si>
    <t>Cumple requisito de auditoria</t>
  </si>
  <si>
    <t>Cierre con monto fisico exacto</t>
  </si>
  <si>
    <t>El cajero ingresa el monto fisico contado igual al total esperado, generando diferencia cero.</t>
  </si>
  <si>
    <t>Tener turno OPEN con al menos una venta registrada.</t>
  </si>
  <si>
    <t>Turno actualizado a status=CLOSED. difference=0. El arbol clasifica el cierre como SIN_INCONSISTENCIA.</t>
  </si>
  <si>
    <t>Caso base del arbol de decisiones</t>
  </si>
  <si>
    <t>Cierre con diferencia detectada</t>
  </si>
  <si>
    <t>El cajero ingresa un monto fisico distinto al esperado y el sistema calcula la diferencia y la clasifica.</t>
  </si>
  <si>
    <t>Tener turno OPEN. Ingresar un monto fisico distinto al esperado.</t>
  </si>
  <si>
    <t>Diferencia calculada y almacenada en shifts.difference. Arbol invocado y resultado almacenado en inconsistency_class y decision_path.</t>
  </si>
  <si>
    <t>Notas de traspaso al siguiente cajero</t>
  </si>
  <si>
    <t>El cajero puede agregar observaciones libres durante el cierre que quedan visibles para el administrador y el siguiente turno.</t>
  </si>
  <si>
    <t>Tener turno en proceso de cierre.</t>
  </si>
  <si>
    <t>Campo notes de la tabla shifts almacena el texto ingresado. Visible en el panel de administrador.</t>
  </si>
  <si>
    <t>Clasificacion: sin inconsistencia (diferencia=0)</t>
  </si>
  <si>
    <t>El arbol de decisiones clasifica como SIN_INCONSISTENCIA cuando el monto fisico declarado coincide con el esperado.</t>
  </si>
  <si>
    <t>Cierre con monto fisico = total esperado.</t>
  </si>
  <si>
    <t>inconsistency_class = SIN_INCONSISTENCIA. decision_path registra la rama recorrida. Cierre aprobado automaticamente.</t>
  </si>
  <si>
    <t>Rama 1 del arbol - caso optimo</t>
  </si>
  <si>
    <t>Clasificacion: inconsistencia leve por error humano</t>
  </si>
  <si>
    <t>Cuando la diferencia es menor o igual a Bs 20 y el cajero no es reincidente, el arbol clasifica como LEVE.</t>
  </si>
  <si>
    <t>Cierre con diferencia &lt;= Bs 20. Cajero con historial limpio (menos de 2 inconsistencias en ultimos 3 turnos).</t>
  </si>
  <si>
    <t>inconsistency_class = INCONSISTENCIA_LEVE. Cierre operativo aprobado. Registro queda para revision rutinaria.</t>
  </si>
  <si>
    <t>Rama 2 del arbol</t>
  </si>
  <si>
    <t>Clasificacion: critica por reincidencia</t>
  </si>
  <si>
    <t>Cuando la diferencia es leve pero el cajero acumula 2 o mas inconsistencias en sus ultimos 3 turnos, el arbol escala a CRITICA.</t>
  </si>
  <si>
    <t>Cierre con diferencia &lt;= Bs 20. Cajero con historial de 2 o mas turnos previos con inconsistencia.</t>
  </si>
  <si>
    <t>inconsistency_class = INCONSISTENCIA_CRITICA. decision_path registra el motivo (reincidencia). Notificacion al administrador.</t>
  </si>
  <si>
    <t>Rama 3 - deteccion de patron</t>
  </si>
  <si>
    <t>Clasificacion: critica por sobrante sin egresos</t>
  </si>
  <si>
    <t>Cuando la diferencia es mayor a Bs 20 con sobrante de caja y no hay egresos registrados, se clasifica como CRITICA.</t>
  </si>
  <si>
    <t>Cierre con diferencia &gt; Bs 20 (sobrante). Cero registros en cash_movements de tipo EXPENSE.</t>
  </si>
  <si>
    <t>inconsistency_class = INCONSISTENCIA_CRITICA. decision_path indica posibles ventas no registradas.</t>
  </si>
  <si>
    <t>Rama 7 - posible irregularidad</t>
  </si>
  <si>
    <t>Generacion de reporte diario</t>
  </si>
  <si>
    <t>El administrador genera el reporte de cierre diario consolidando ventas, egresos, ingresos y saldo neto.</t>
  </si>
  <si>
    <t>Tener sesion activa como administrador. Existir al menos un turno cerrado en el dia.</t>
  </si>
  <si>
    <t>Vista de reporte mostrando totales de ventas, egresos, ingresos y saldo neto agrupados por turno y cajero.</t>
  </si>
  <si>
    <t>Filtrado de reporte por rango de fechas</t>
  </si>
  <si>
    <t>El administrador filtra los reportes seleccionando una fecha inicial y final.</t>
  </si>
  <si>
    <t>Existir turnos cerrados en fechas distintas.</t>
  </si>
  <si>
    <t>Reporte muestra unicamente los turnos cuyo close_time se encuentra dentro del rango seleccionado.</t>
  </si>
  <si>
    <t>Exportacion de reporte a PDF</t>
  </si>
  <si>
    <t>El administrador exporta un reporte a PDF utilizando la funcion de impresion nativa del navegador.</t>
  </si>
  <si>
    <t>Tener un reporte generado en pantalla.</t>
  </si>
  <si>
    <t>Apertura de dialogo de impresion del navegador con vista optimizada (sin menus, sin botones de UI). Conversion correcta a PDF.</t>
  </si>
  <si>
    <t>Impresion nativa - sin librerias externas</t>
  </si>
  <si>
    <t>Carga de la landing page publica</t>
  </si>
  <si>
    <t>Un visitante sin autenticacion accede a la pagina principal del negocio y visualiza todas las secciones.</t>
  </si>
  <si>
    <t>Tener el servidor activo. Acceder a la URL raiz del sistema.</t>
  </si>
  <si>
    <t>Pagina carga correctamente con secciones de hero, sobre nosotros, catalogo, ubicacion, horarios y footer. Tiempo de carga &lt; 3 segundos.</t>
  </si>
  <si>
    <t>Catalogo dinamico de productos</t>
  </si>
  <si>
    <t>El catalogo publico muestra los productos activos consultados directamente desde la base de datos del sistema interno.</t>
  </si>
  <si>
    <t>Existir productos con is_active=true en la tabla products.</t>
  </si>
  <si>
    <t>Catalogo renderiza una tarjeta por cada producto activo mostrando nombre, ilustracion, precio y categoria. Productos inactivos NO aparecen.</t>
  </si>
  <si>
    <t>Renderizado server-side via Blade</t>
  </si>
  <si>
    <t>Filtro del catalogo por categoria</t>
  </si>
  <si>
    <t>El visitante filtra el catalogo seleccionando entre Todos, Bebidas y Toppings.</t>
  </si>
  <si>
    <t>Existir productos activos de ambas categorias en la tabla products.</t>
  </si>
  <si>
    <t>Al seleccionar "Bebidas" solo se muestran productos con category=BEBIDA. Al seleccionar "Toppings" solo los TOPPING. "Todos" restablece la vista completa.</t>
  </si>
  <si>
    <t>Columna category agregada en Sprint 4</t>
  </si>
  <si>
    <t>Disenio responsive en dispositivos moviles</t>
  </si>
  <si>
    <t>La landing se adapta correctamente a viewports moviles manteniendo legibilidad y usabilidad.</t>
  </si>
  <si>
    <t>Acceder al sitio desde un dispositivo movil o emulador con ancho de pantalla menor a 768px.</t>
  </si>
  <si>
    <t>Layout reorganiza tarjetas a una sola columna. Menu hamburguesa visible. Botones flotantes y mapa correctamente escalados.</t>
  </si>
  <si>
    <t>Bootstrap 5 + media queries</t>
  </si>
  <si>
    <t>Visualizacion del mapa integrado en la landing</t>
  </si>
  <si>
    <t>El mapa de Google Maps embebido carga correctamente mostrando la ubicacion exacta del local en Av. 20 de Octubre 2038, La Paz.</t>
  </si>
  <si>
    <t>Tener conexion a internet activa. Acceder a la seccion de ubicacion de la landing.</t>
  </si>
  <si>
    <t>Iframe de Google Maps renderiza centrado en la direccion del local. Marcador visible. Permite zoom in/out y arrastre dentro del iframe.</t>
  </si>
  <si>
    <t>Embed sin API key requerida</t>
  </si>
  <si>
    <t>Boton "Como llegar" abre indicaciones de ruta</t>
  </si>
  <si>
    <t>El boton "Como llegar" abre Google Maps en una nueva pestania con la direccion del local pre-cargada como destino.</t>
  </si>
  <si>
    <t>Estar en la seccion de ubicacion de la landing.</t>
  </si>
  <si>
    <t>Click en el boton abre nueva pestania en https://www.google.com/maps/dir/?api=1&amp;destination=... con el destino correctamente cargado.</t>
  </si>
  <si>
    <t>Funciona en escritorio y movil</t>
  </si>
  <si>
    <t>Boton flotante de WhatsApp visible en toda la pagina</t>
  </si>
  <si>
    <t>El boton flotante de WhatsApp se mantiene fijo en la esquina inferior derecha durante toda la navegacion de la landing.</t>
  </si>
  <si>
    <t>Acceder a la landing publica.</t>
  </si>
  <si>
    <t>Boton visible en posicion fixed bottom-right con animacion pulse. Visible en todas las secciones al hacer scroll. Al hacer click abre wa.me con mensaje pre-llenado generico.</t>
  </si>
  <si>
    <t>Numero: +591 72088603</t>
  </si>
  <si>
    <t>Boton "Consultar" por producto abre WhatsApp con mensaje dinamico</t>
  </si>
  <si>
    <t>Cada tarjeta del catalogo tiene un boton "Consultar" que abre WhatsApp pre-cargando el nombre del producto en el mensaje.</t>
  </si>
  <si>
    <t>Existir productos en el catalogo publico.</t>
  </si>
  <si>
    <t>Click en "Consultar" sobre un producto X abre wa.me/59172088603?text=Hola, quiero consultar por: X. El mensaje codifica correctamente los caracteres especiales.</t>
  </si>
  <si>
    <t>urlencode aplicado correctamente</t>
  </si>
  <si>
    <t>Boton "Volver al inicio" desde el login</t>
  </si>
  <si>
    <t>La pantalla de login incluye un boton que retorna a la landing publica sin requerir autenticacion.</t>
  </si>
  <si>
    <t>Acceder a la URL /login sin sesion activa.</t>
  </si>
  <si>
    <t>Boton visible en la esquina superior izquierda. Click redirige a la ruta / (landing publica) sin afectar el formulario de login.</t>
  </si>
  <si>
    <t>Agregado en Sprint 4</t>
  </si>
  <si>
    <t>RESUMEN POR MODULO Y ESTADO</t>
  </si>
  <si>
    <t>Modulo</t>
  </si>
  <si>
    <t>FAIL</t>
  </si>
  <si>
    <t>PENDING</t>
  </si>
  <si>
    <t>Total</t>
  </si>
  <si>
    <t>TOTAL GENERAL</t>
  </si>
  <si>
    <t>COBERTURA GLOBAL</t>
  </si>
  <si>
    <t>Estado</t>
  </si>
  <si>
    <t>Cantidad</t>
  </si>
  <si>
    <t>Porcentaje</t>
  </si>
  <si>
    <t>TOTAL</t>
  </si>
  <si>
    <t>TIPOS DE PRUEBAS APLICADAS EN EL PROYECTO</t>
  </si>
  <si>
    <t>Tipo</t>
  </si>
  <si>
    <t>Descripcion</t>
  </si>
  <si>
    <t>Modulos en los que se aplica</t>
  </si>
  <si>
    <t>Funcional</t>
  </si>
  <si>
    <t>Verifica que cada caso de uso del sistema produzca el resultado esperado segun los criterios de aceptacion definidos en cada Historia de Usuario.</t>
  </si>
  <si>
    <t>Login, Gestion Usuarios, Apertura de Turno, Registro de Ventas, Movimientos de Caja, Cierre de Turno, Reportes</t>
  </si>
  <si>
    <t>Logica de Negocio</t>
  </si>
  <si>
    <t>Valida la correcta aplicacion del arbol de decisiones multivariable y los umbrales definidos para la clasificacion automatica de inconsistencias en el cierre de turno.</t>
  </si>
  <si>
    <t>Arbol de Decisiones, Cierre de Turno</t>
  </si>
  <si>
    <t>Integracion</t>
  </si>
  <si>
    <t>Verifica el correcto flujo de datos entre los modulos: turno -&gt; ventas -&gt; movimientos -&gt; cierre -&gt; arbol -&gt; reportes. Comprueba que la informacion se persista correctamente entre tablas relacionadas.</t>
  </si>
  <si>
    <t>Registro de Ventas + Apertura de Turno + Movimientos de Caja + Cierre de Turno</t>
  </si>
  <si>
    <t>Seguridad / Autorizacion</t>
  </si>
  <si>
    <t>Valida que las rutas protegidas exijan sesion activa y el rol correspondiente. Comprueba el correcto funcionamiento del middleware de autenticacion y autorizacion por rol.</t>
  </si>
  <si>
    <t>Login, Gestion Usuarios, Apertura de Turno (admin only)</t>
  </si>
  <si>
    <t>UI / Responsive</t>
  </si>
  <si>
    <t>Verifica la adaptabilidad de la interfaz a diferentes dispositivos (desktop, tablet, movil) y la correcta visualizacion de elementos en distintos tamanios de pantalla.</t>
  </si>
  <si>
    <t>Vitrina Publica, Mapa Google Maps, Validacion de Botones</t>
  </si>
  <si>
    <t>Integracion Externa</t>
  </si>
  <si>
    <t>Valida la correcta integracion con servicios de terceros: iframe de Google Maps embebido y enlaces wa.me de WhatsApp.</t>
  </si>
  <si>
    <t>Mapa Google Maps, Validacion de Botones</t>
  </si>
  <si>
    <t>Validacion de Entrada</t>
  </si>
  <si>
    <t>Verifica que los formularios rechacen entradas invalidas o incompletas mostrando mensajes claros al usuario y previniendo la persistencia de datos incorrectos.</t>
  </si>
  <si>
    <t>Login, Gestion Usuarios, Apertura de Turno, Movimientos de Caja</t>
  </si>
  <si>
    <t>Persistencia de Datos</t>
  </si>
  <si>
    <t>Valida que las operaciones de creacion, actualizacion y desactivacion impacten correctamente en la base de datos MySQL respetando las relaciones definidas y las restricciones de integridad.</t>
  </si>
  <si>
    <t>Gestion Usuarios, Registro de Ventas, Cierre de Turno</t>
  </si>
  <si>
    <t>Jean Marco Mendoza Aliaga</t>
  </si>
  <si>
    <t>Javier Morales Gutierrez</t>
  </si>
  <si>
    <t>Jesus Alexander Santander Amaru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</si>
</sst>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0.0%"/>
  </numFmts>
  <fonts count="12" x14ac:knownFonts="1">
    <font>
      <sz val="11"/>
      <color theme="1"/>
      <name val="Aptos Narrow"/>
      <family val="2"/>
      <charset val="1"/>
    </font>
    <font>
      <b/>
      <sz val="11"/>
      <color theme="1"/>
      <name val="Aptos Narrow"/>
      <family val="2"/>
      <charset val="1"/>
    </font>
    <font>
      <b/>
      <sz val="14"/>
      <name val="Cambria"/>
      <charset val="1"/>
    </font>
    <font>
      <b/>
      <sz val="11"/>
      <name val="Cambria"/>
      <charset val="1"/>
    </font>
    <font>
      <b/>
      <sz val="12"/>
      <name val="Cambria"/>
      <charset val="1"/>
    </font>
    <font>
      <i/>
      <sz val="11"/>
      <color rgb="FF808080"/>
      <name val="Cambria"/>
      <charset val="1"/>
    </font>
    <font>
      <b/>
      <sz val="11"/>
      <color rgb="FFFFFFFF"/>
      <name val="Cambria"/>
      <charset val="1"/>
    </font>
    <font>
      <b/>
      <sz val="11"/>
      <color rgb="FF006100"/>
      <name val="Cambria"/>
      <charset val="1"/>
    </font>
    <font>
      <b/>
      <sz val="11"/>
      <color rgb="FF9C0006"/>
      <name val="Cambria"/>
      <charset val="1"/>
    </font>
    <font>
      <b/>
      <sz val="11"/>
      <color rgb="FF9C5700"/>
      <name val="Cambria"/>
      <charset val="1"/>
    </font>
    <font>
      <b/>
      <sz val="13"/>
      <name val="Cambria"/>
      <charset val="1"/>
    </font>
    <font>
      <sz val="11"/>
      <color theme="1"/>
      <name val="Aptos Narrow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D9E1F2"/>
        <bgColor rgb="FFC6EFCE"/>
      </patternFill>
    </fill>
    <fill>
      <patternFill patternType="solid">
        <fgColor rgb="FF305496"/>
        <bgColor rgb="FF666699"/>
      </patternFill>
    </fill>
    <fill>
      <patternFill patternType="solid">
        <fgColor rgb="FFC6EFCE"/>
        <bgColor rgb="FFD9E1F2"/>
      </patternFill>
    </fill>
    <fill>
      <patternFill patternType="solid">
        <fgColor rgb="FFFFC7CE"/>
        <bgColor rgb="FFD9E1F2"/>
      </patternFill>
    </fill>
    <fill>
      <patternFill patternType="solid">
        <fgColor rgb="FFFFEB9C"/>
        <bgColor rgb="FFFFFFCC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7">
    <xf numFmtId="0" fontId="0" fillId="0" borderId="0"/>
    <xf numFmtId="0" fontId="11" fillId="0" borderId="0">
      <alignment horizontal="left"/>
    </xf>
    <xf numFmtId="0" fontId="11" fillId="0" borderId="0"/>
    <xf numFmtId="0" fontId="11" fillId="0" borderId="0"/>
    <xf numFmtId="0" fontId="1" fillId="0" borderId="0"/>
    <xf numFmtId="0" fontId="1" fillId="0" borderId="0">
      <alignment horizontal="left"/>
    </xf>
    <xf numFmtId="0" fontId="11" fillId="0" borderId="0"/>
  </cellStyleXfs>
  <cellXfs count="27">
    <xf numFmtId="0" fontId="0" fillId="0" borderId="0" xfId="0"/>
    <xf numFmtId="0" fontId="10" fillId="0" borderId="0" xfId="0" applyFont="1"/>
    <xf numFmtId="0" fontId="4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0" borderId="0" xfId="0" applyFont="1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vertical="top" wrapText="1"/>
    </xf>
    <xf numFmtId="0" fontId="7" fillId="4" borderId="1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6" fillId="3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7" fillId="4" borderId="1" xfId="0" applyFont="1" applyFill="1" applyBorder="1"/>
    <xf numFmtId="165" fontId="0" fillId="0" borderId="1" xfId="0" applyNumberFormat="1" applyBorder="1" applyAlignment="1">
      <alignment horizontal="center"/>
    </xf>
    <xf numFmtId="0" fontId="8" fillId="5" borderId="1" xfId="0" applyFont="1" applyFill="1" applyBorder="1"/>
    <xf numFmtId="0" fontId="9" fillId="6" borderId="1" xfId="0" applyFont="1" applyFill="1" applyBorder="1"/>
    <xf numFmtId="165" fontId="3" fillId="2" borderId="1" xfId="0" applyNumberFormat="1" applyFont="1" applyFill="1" applyBorder="1" applyAlignment="1">
      <alignment horizontal="center"/>
    </xf>
    <xf numFmtId="0" fontId="3" fillId="0" borderId="1" xfId="0" applyFont="1" applyBorder="1" applyAlignment="1">
      <alignment vertical="top" wrapText="1"/>
    </xf>
  </cellXfs>
  <cellStyles count="7">
    <cellStyle name="Normal" xfId="0" builtinId="0"/>
    <cellStyle name="Pivot Table Category" xfId="1" xr:uid="{00000000-0005-0000-0000-000006000000}"/>
    <cellStyle name="Pivot Table Corner" xfId="2" xr:uid="{00000000-0005-0000-0000-000007000000}"/>
    <cellStyle name="Pivot Table Field" xfId="3" xr:uid="{00000000-0005-0000-0000-000008000000}"/>
    <cellStyle name="Pivot Table Result" xfId="4" xr:uid="{00000000-0005-0000-0000-000009000000}"/>
    <cellStyle name="Pivot Table Title" xfId="5" xr:uid="{00000000-0005-0000-0000-00000A000000}"/>
    <cellStyle name="Pivot Table Value" xfId="6" xr:uid="{00000000-0005-0000-0000-00000B000000}"/>
  </cellStyles>
  <dxfs count="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4B4B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C5700"/>
      <rgbColor rgb="FF993366"/>
      <rgbColor rgb="FF30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811507</xdr:colOff>
      <xdr:row>14</xdr:row>
      <xdr:rowOff>41138</xdr:rowOff>
    </xdr:from>
    <xdr:to>
      <xdr:col>2</xdr:col>
      <xdr:colOff>317499</xdr:colOff>
      <xdr:row>53</xdr:row>
      <xdr:rowOff>151297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11507" y="4493355"/>
          <a:ext cx="6296163" cy="7145669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428760</xdr:colOff>
      <xdr:row>1</xdr:row>
      <xdr:rowOff>4320</xdr:rowOff>
    </xdr:from>
    <xdr:to>
      <xdr:col>13</xdr:col>
      <xdr:colOff>428040</xdr:colOff>
      <xdr:row>6</xdr:row>
      <xdr:rowOff>105840</xdr:rowOff>
    </xdr:to>
    <xdr:pic>
      <xdr:nvPicPr>
        <xdr:cNvPr id="3" name="Imagen 1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17817480" y="204480"/>
          <a:ext cx="6080040" cy="1692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85680</xdr:colOff>
      <xdr:row>7</xdr:row>
      <xdr:rowOff>14400</xdr:rowOff>
    </xdr:from>
    <xdr:to>
      <xdr:col>12</xdr:col>
      <xdr:colOff>332640</xdr:colOff>
      <xdr:row>9</xdr:row>
      <xdr:rowOff>322560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/>
      </xdr:nvPicPr>
      <xdr:blipFill>
        <a:blip xmlns:r="http://schemas.openxmlformats.org/officeDocument/2006/relationships" r:embed="rId3"/>
        <a:srcRect t="58126" r="27843"/>
        <a:stretch/>
      </xdr:blipFill>
      <xdr:spPr>
        <a:xfrm>
          <a:off x="18488160" y="2328840"/>
          <a:ext cx="4300560" cy="1013040"/>
        </a:xfrm>
        <a:prstGeom prst="rect">
          <a:avLst/>
        </a:prstGeom>
        <a:ln w="0"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odulos" displayName="Modulos" ref="A1:A33" totalsRowShown="0">
  <autoFilter ref="A1:A33" xr:uid="{00000000-0009-0000-0100-000001000000}"/>
  <tableColumns count="1">
    <tableColumn id="1" xr3:uid="{00000000-0010-0000-0000-000001000000}" name="MODULOS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estPlan" displayName="TestPlan" ref="A2:I51" totalsRowShown="0">
  <autoFilter ref="A2:I51" xr:uid="{00000000-0009-0000-0100-000002000000}"/>
  <tableColumns count="9">
    <tableColumn id="1" xr3:uid="{00000000-0010-0000-0100-000001000000}" name="Modulo (Dropdown)"/>
    <tableColumn id="2" xr3:uid="{00000000-0010-0000-0100-000002000000}" name="Test Case"/>
    <tableColumn id="3" xr3:uid="{00000000-0010-0000-0100-000003000000}" name="Descripción"/>
    <tableColumn id="4" xr3:uid="{00000000-0010-0000-0100-000004000000}" name="Precondiciones"/>
    <tableColumn id="5" xr3:uid="{00000000-0010-0000-0100-000005000000}" name="Resultado Esperado"/>
    <tableColumn id="6" xr3:uid="{00000000-0010-0000-0100-000006000000}" name="Resultado Actual (Si falla)"/>
    <tableColumn id="7" xr3:uid="{00000000-0010-0000-0100-000007000000}" name="Ultima ejecución (Fecha)"/>
    <tableColumn id="8" xr3:uid="{00000000-0010-0000-0100-000008000000}" name="Estado (Dropdown)"/>
    <tableColumn id="9" xr3:uid="{00000000-0010-0000-0100-000009000000}" name="Comentario" totalsRowFunction="count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zoomScaleNormal="100" workbookViewId="0">
      <selection activeCell="B15" sqref="B15"/>
    </sheetView>
  </sheetViews>
  <sheetFormatPr baseColWidth="10" defaultColWidth="8.53125" defaultRowHeight="14.25" x14ac:dyDescent="0.45"/>
  <cols>
    <col min="1" max="1" width="22" customWidth="1"/>
    <col min="2" max="2" width="72.53125" customWidth="1"/>
  </cols>
  <sheetData>
    <row r="1" spans="1:2" ht="17.25" customHeight="1" x14ac:dyDescent="0.45">
      <c r="A1" s="3" t="s">
        <v>0</v>
      </c>
      <c r="B1" s="3"/>
    </row>
    <row r="3" spans="1:2" ht="15" customHeight="1" x14ac:dyDescent="0.45">
      <c r="A3" s="4" t="s">
        <v>1</v>
      </c>
      <c r="B3" t="s">
        <v>2</v>
      </c>
    </row>
    <row r="4" spans="1:2" ht="15" customHeight="1" x14ac:dyDescent="0.45">
      <c r="A4" s="4" t="s">
        <v>3</v>
      </c>
      <c r="B4" t="s">
        <v>4</v>
      </c>
    </row>
    <row r="5" spans="1:2" ht="15" customHeight="1" x14ac:dyDescent="0.45">
      <c r="A5" s="4" t="s">
        <v>5</v>
      </c>
      <c r="B5" t="s">
        <v>6</v>
      </c>
    </row>
    <row r="7" spans="1:2" ht="15" customHeight="1" x14ac:dyDescent="0.45">
      <c r="A7" s="5" t="s">
        <v>7</v>
      </c>
      <c r="B7" s="5" t="s">
        <v>8</v>
      </c>
    </row>
    <row r="8" spans="1:2" ht="15" customHeight="1" x14ac:dyDescent="0.45">
      <c r="A8" t="s">
        <v>9</v>
      </c>
      <c r="B8" s="6" t="s">
        <v>234</v>
      </c>
    </row>
    <row r="9" spans="1:2" ht="15" customHeight="1" x14ac:dyDescent="0.45">
      <c r="A9" t="s">
        <v>10</v>
      </c>
      <c r="B9" s="6" t="s">
        <v>235</v>
      </c>
    </row>
    <row r="10" spans="1:2" ht="15" customHeight="1" x14ac:dyDescent="0.45">
      <c r="A10" t="s">
        <v>11</v>
      </c>
      <c r="B10" s="6" t="s">
        <v>236</v>
      </c>
    </row>
    <row r="11" spans="1:2" ht="15" customHeight="1" x14ac:dyDescent="0.45">
      <c r="B11" s="6"/>
    </row>
    <row r="12" spans="1:2" ht="15" customHeight="1" x14ac:dyDescent="0.45">
      <c r="B12" s="6"/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2"/>
  <sheetViews>
    <sheetView zoomScaleNormal="100" workbookViewId="0"/>
  </sheetViews>
  <sheetFormatPr baseColWidth="10" defaultColWidth="8.86328125" defaultRowHeight="14.25" x14ac:dyDescent="0.45"/>
  <cols>
    <col min="1" max="1" width="28" style="7" customWidth="1"/>
  </cols>
  <sheetData>
    <row r="1" spans="1:1" ht="14.25" customHeight="1" x14ac:dyDescent="0.45">
      <c r="A1" s="8" t="s">
        <v>12</v>
      </c>
    </row>
    <row r="2" spans="1:1" ht="14.25" customHeight="1" x14ac:dyDescent="0.45">
      <c r="A2" s="7" t="s">
        <v>13</v>
      </c>
    </row>
    <row r="3" spans="1:1" ht="14.25" customHeight="1" x14ac:dyDescent="0.45">
      <c r="A3" s="7" t="s">
        <v>14</v>
      </c>
    </row>
    <row r="4" spans="1:1" ht="14.25" customHeight="1" x14ac:dyDescent="0.45">
      <c r="A4" s="7" t="s">
        <v>15</v>
      </c>
    </row>
    <row r="5" spans="1:1" ht="14.25" customHeight="1" x14ac:dyDescent="0.45">
      <c r="A5" s="7" t="s">
        <v>16</v>
      </c>
    </row>
    <row r="6" spans="1:1" ht="14.25" customHeight="1" x14ac:dyDescent="0.45">
      <c r="A6" s="7" t="s">
        <v>17</v>
      </c>
    </row>
    <row r="7" spans="1:1" ht="14.25" customHeight="1" x14ac:dyDescent="0.45">
      <c r="A7" s="7" t="s">
        <v>18</v>
      </c>
    </row>
    <row r="8" spans="1:1" ht="14.25" customHeight="1" x14ac:dyDescent="0.45">
      <c r="A8" s="7" t="s">
        <v>19</v>
      </c>
    </row>
    <row r="9" spans="1:1" ht="14.25" customHeight="1" x14ac:dyDescent="0.45">
      <c r="A9" s="7" t="s">
        <v>20</v>
      </c>
    </row>
    <row r="10" spans="1:1" ht="14.25" customHeight="1" x14ac:dyDescent="0.45">
      <c r="A10" s="7" t="s">
        <v>21</v>
      </c>
    </row>
    <row r="11" spans="1:1" ht="14.25" customHeight="1" x14ac:dyDescent="0.45">
      <c r="A11" s="7" t="s">
        <v>22</v>
      </c>
    </row>
    <row r="12" spans="1:1" ht="14.25" customHeight="1" x14ac:dyDescent="0.45">
      <c r="A12" s="7" t="s">
        <v>23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I51"/>
  <sheetViews>
    <sheetView topLeftCell="D1" zoomScaleNormal="100" workbookViewId="0"/>
  </sheetViews>
  <sheetFormatPr baseColWidth="10" defaultColWidth="11.3984375" defaultRowHeight="14.25" x14ac:dyDescent="0.45"/>
  <cols>
    <col min="1" max="1" width="22" customWidth="1"/>
    <col min="2" max="2" width="38" customWidth="1"/>
    <col min="3" max="3" width="50" customWidth="1"/>
    <col min="4" max="4" width="42" customWidth="1"/>
    <col min="5" max="5" width="50" customWidth="1"/>
    <col min="6" max="6" width="25" customWidth="1"/>
    <col min="7" max="7" width="16" style="7" customWidth="1"/>
    <col min="8" max="8" width="14" customWidth="1"/>
    <col min="9" max="9" width="30" customWidth="1"/>
  </cols>
  <sheetData>
    <row r="2" spans="1:9" s="10" customFormat="1" ht="30" customHeight="1" x14ac:dyDescent="0.45">
      <c r="A2" s="9" t="s">
        <v>24</v>
      </c>
      <c r="B2" s="9" t="s">
        <v>25</v>
      </c>
      <c r="C2" s="9" t="s">
        <v>26</v>
      </c>
      <c r="D2" s="9" t="s">
        <v>27</v>
      </c>
      <c r="E2" s="9" t="s">
        <v>28</v>
      </c>
      <c r="F2" s="9" t="s">
        <v>29</v>
      </c>
      <c r="G2" s="9" t="s">
        <v>30</v>
      </c>
      <c r="H2" s="9" t="s">
        <v>31</v>
      </c>
      <c r="I2" s="9" t="s">
        <v>32</v>
      </c>
    </row>
    <row r="3" spans="1:9" ht="28.5" customHeight="1" x14ac:dyDescent="0.45">
      <c r="A3" s="11" t="s">
        <v>13</v>
      </c>
      <c r="B3" s="11" t="s">
        <v>33</v>
      </c>
      <c r="C3" s="11" t="s">
        <v>34</v>
      </c>
      <c r="D3" s="11" t="s">
        <v>35</v>
      </c>
      <c r="E3" s="11" t="s">
        <v>36</v>
      </c>
      <c r="F3" s="11"/>
      <c r="G3" s="12">
        <v>46181</v>
      </c>
      <c r="H3" s="13" t="s">
        <v>37</v>
      </c>
      <c r="I3" s="11" t="s">
        <v>38</v>
      </c>
    </row>
    <row r="4" spans="1:9" ht="28.5" customHeight="1" x14ac:dyDescent="0.45">
      <c r="A4" s="11" t="s">
        <v>13</v>
      </c>
      <c r="B4" s="11" t="s">
        <v>39</v>
      </c>
      <c r="C4" s="11" t="s">
        <v>40</v>
      </c>
      <c r="D4" s="11" t="s">
        <v>41</v>
      </c>
      <c r="E4" s="11" t="s">
        <v>42</v>
      </c>
      <c r="F4" s="11"/>
      <c r="G4" s="12">
        <v>46181</v>
      </c>
      <c r="H4" s="13" t="s">
        <v>37</v>
      </c>
      <c r="I4" s="11" t="s">
        <v>43</v>
      </c>
    </row>
    <row r="5" spans="1:9" ht="27.75" customHeight="1" x14ac:dyDescent="0.45">
      <c r="A5" s="11" t="s">
        <v>13</v>
      </c>
      <c r="B5" s="11" t="s">
        <v>44</v>
      </c>
      <c r="C5" s="11" t="s">
        <v>45</v>
      </c>
      <c r="D5" s="11" t="s">
        <v>46</v>
      </c>
      <c r="E5" s="11" t="s">
        <v>47</v>
      </c>
      <c r="F5" s="11"/>
      <c r="G5" s="12">
        <v>46181</v>
      </c>
      <c r="H5" s="13" t="s">
        <v>37</v>
      </c>
      <c r="I5" s="11"/>
    </row>
    <row r="6" spans="1:9" ht="41.25" customHeight="1" x14ac:dyDescent="0.45">
      <c r="A6" s="11" t="s">
        <v>14</v>
      </c>
      <c r="B6" s="11" t="s">
        <v>48</v>
      </c>
      <c r="C6" s="11" t="s">
        <v>49</v>
      </c>
      <c r="D6" s="11" t="s">
        <v>50</v>
      </c>
      <c r="E6" s="11" t="s">
        <v>51</v>
      </c>
      <c r="F6" s="11"/>
      <c r="G6" s="12">
        <v>46181</v>
      </c>
      <c r="H6" s="13" t="s">
        <v>37</v>
      </c>
      <c r="I6" s="11" t="s">
        <v>52</v>
      </c>
    </row>
    <row r="7" spans="1:9" ht="27.75" customHeight="1" x14ac:dyDescent="0.45">
      <c r="A7" s="11" t="s">
        <v>14</v>
      </c>
      <c r="B7" s="11" t="s">
        <v>53</v>
      </c>
      <c r="C7" s="11" t="s">
        <v>54</v>
      </c>
      <c r="D7" s="11" t="s">
        <v>55</v>
      </c>
      <c r="E7" s="11" t="s">
        <v>56</v>
      </c>
      <c r="F7" s="11"/>
      <c r="G7" s="12">
        <v>46181</v>
      </c>
      <c r="H7" s="13" t="s">
        <v>37</v>
      </c>
      <c r="I7" s="11"/>
    </row>
    <row r="8" spans="1:9" ht="27.75" customHeight="1" x14ac:dyDescent="0.45">
      <c r="A8" s="11" t="s">
        <v>14</v>
      </c>
      <c r="B8" s="11" t="s">
        <v>57</v>
      </c>
      <c r="C8" s="11" t="s">
        <v>58</v>
      </c>
      <c r="D8" s="11" t="s">
        <v>59</v>
      </c>
      <c r="E8" s="11" t="s">
        <v>60</v>
      </c>
      <c r="F8" s="11"/>
      <c r="G8" s="12">
        <v>46181</v>
      </c>
      <c r="H8" s="13" t="s">
        <v>37</v>
      </c>
      <c r="I8" s="11"/>
    </row>
    <row r="9" spans="1:9" ht="41.25" customHeight="1" x14ac:dyDescent="0.45">
      <c r="A9" s="11" t="s">
        <v>14</v>
      </c>
      <c r="B9" s="11" t="s">
        <v>61</v>
      </c>
      <c r="C9" s="11" t="s">
        <v>62</v>
      </c>
      <c r="D9" s="11" t="s">
        <v>63</v>
      </c>
      <c r="E9" s="11" t="s">
        <v>64</v>
      </c>
      <c r="F9" s="11"/>
      <c r="G9" s="12">
        <v>46181</v>
      </c>
      <c r="H9" s="13" t="s">
        <v>37</v>
      </c>
      <c r="I9" s="11" t="s">
        <v>65</v>
      </c>
    </row>
    <row r="10" spans="1:9" ht="41.25" customHeight="1" x14ac:dyDescent="0.45">
      <c r="A10" s="11" t="s">
        <v>15</v>
      </c>
      <c r="B10" s="11" t="s">
        <v>66</v>
      </c>
      <c r="C10" s="11" t="s">
        <v>67</v>
      </c>
      <c r="D10" s="11" t="s">
        <v>68</v>
      </c>
      <c r="E10" s="11" t="s">
        <v>69</v>
      </c>
      <c r="F10" s="11"/>
      <c r="G10" s="12">
        <v>46181</v>
      </c>
      <c r="H10" s="13" t="s">
        <v>37</v>
      </c>
      <c r="I10" s="11" t="s">
        <v>70</v>
      </c>
    </row>
    <row r="11" spans="1:9" ht="27.75" customHeight="1" x14ac:dyDescent="0.45">
      <c r="A11" s="11" t="s">
        <v>15</v>
      </c>
      <c r="B11" s="11" t="s">
        <v>71</v>
      </c>
      <c r="C11" s="11" t="s">
        <v>72</v>
      </c>
      <c r="D11" s="11" t="s">
        <v>73</v>
      </c>
      <c r="E11" s="11" t="s">
        <v>74</v>
      </c>
      <c r="F11" s="11"/>
      <c r="G11" s="12">
        <v>46181</v>
      </c>
      <c r="H11" s="13" t="s">
        <v>37</v>
      </c>
      <c r="I11" s="11"/>
    </row>
    <row r="12" spans="1:9" ht="41.25" customHeight="1" x14ac:dyDescent="0.45">
      <c r="A12" s="11" t="s">
        <v>15</v>
      </c>
      <c r="B12" s="11" t="s">
        <v>75</v>
      </c>
      <c r="C12" s="11" t="s">
        <v>76</v>
      </c>
      <c r="D12" s="11" t="s">
        <v>77</v>
      </c>
      <c r="E12" s="11" t="s">
        <v>78</v>
      </c>
      <c r="F12" s="11"/>
      <c r="G12" s="12">
        <v>46181</v>
      </c>
      <c r="H12" s="13" t="s">
        <v>37</v>
      </c>
      <c r="I12" s="11" t="s">
        <v>79</v>
      </c>
    </row>
    <row r="13" spans="1:9" ht="41.25" customHeight="1" x14ac:dyDescent="0.45">
      <c r="A13" s="11" t="s">
        <v>16</v>
      </c>
      <c r="B13" s="11" t="s">
        <v>80</v>
      </c>
      <c r="C13" s="11" t="s">
        <v>81</v>
      </c>
      <c r="D13" s="11" t="s">
        <v>82</v>
      </c>
      <c r="E13" s="11" t="s">
        <v>83</v>
      </c>
      <c r="F13" s="11"/>
      <c r="G13" s="12">
        <v>46181</v>
      </c>
      <c r="H13" s="13" t="s">
        <v>37</v>
      </c>
      <c r="I13" s="11"/>
    </row>
    <row r="14" spans="1:9" ht="41.25" customHeight="1" x14ac:dyDescent="0.45">
      <c r="A14" s="11" t="s">
        <v>16</v>
      </c>
      <c r="B14" s="11" t="s">
        <v>84</v>
      </c>
      <c r="C14" s="11" t="s">
        <v>85</v>
      </c>
      <c r="D14" s="11" t="s">
        <v>86</v>
      </c>
      <c r="E14" s="11" t="s">
        <v>87</v>
      </c>
      <c r="F14" s="11"/>
      <c r="G14" s="12">
        <v>46181</v>
      </c>
      <c r="H14" s="13" t="s">
        <v>37</v>
      </c>
      <c r="I14" s="11" t="s">
        <v>88</v>
      </c>
    </row>
    <row r="15" spans="1:9" ht="27.75" customHeight="1" x14ac:dyDescent="0.45">
      <c r="A15" s="11" t="s">
        <v>16</v>
      </c>
      <c r="B15" s="11" t="s">
        <v>89</v>
      </c>
      <c r="C15" s="11" t="s">
        <v>90</v>
      </c>
      <c r="D15" s="11" t="s">
        <v>91</v>
      </c>
      <c r="E15" s="11" t="s">
        <v>92</v>
      </c>
      <c r="F15" s="11"/>
      <c r="G15" s="12">
        <v>46181</v>
      </c>
      <c r="H15" s="13" t="s">
        <v>37</v>
      </c>
      <c r="I15" s="11"/>
    </row>
    <row r="16" spans="1:9" ht="41.25" customHeight="1" x14ac:dyDescent="0.45">
      <c r="A16" s="11" t="s">
        <v>17</v>
      </c>
      <c r="B16" s="11" t="s">
        <v>93</v>
      </c>
      <c r="C16" s="11" t="s">
        <v>94</v>
      </c>
      <c r="D16" s="11" t="s">
        <v>95</v>
      </c>
      <c r="E16" s="11" t="s">
        <v>96</v>
      </c>
      <c r="F16" s="11"/>
      <c r="G16" s="12">
        <v>46181</v>
      </c>
      <c r="H16" s="13" t="s">
        <v>37</v>
      </c>
      <c r="I16" s="11"/>
    </row>
    <row r="17" spans="1:9" ht="41.25" customHeight="1" x14ac:dyDescent="0.45">
      <c r="A17" s="11" t="s">
        <v>17</v>
      </c>
      <c r="B17" s="11" t="s">
        <v>97</v>
      </c>
      <c r="C17" s="11" t="s">
        <v>98</v>
      </c>
      <c r="D17" s="11" t="s">
        <v>95</v>
      </c>
      <c r="E17" s="11" t="s">
        <v>99</v>
      </c>
      <c r="F17" s="11"/>
      <c r="G17" s="12">
        <v>46181</v>
      </c>
      <c r="H17" s="13" t="s">
        <v>37</v>
      </c>
      <c r="I17" s="11"/>
    </row>
    <row r="18" spans="1:9" ht="27.75" customHeight="1" x14ac:dyDescent="0.45">
      <c r="A18" s="11" t="s">
        <v>17</v>
      </c>
      <c r="B18" s="11" t="s">
        <v>100</v>
      </c>
      <c r="C18" s="11" t="s">
        <v>101</v>
      </c>
      <c r="D18" s="11" t="s">
        <v>102</v>
      </c>
      <c r="E18" s="11" t="s">
        <v>103</v>
      </c>
      <c r="F18" s="11"/>
      <c r="G18" s="12">
        <v>46181</v>
      </c>
      <c r="H18" s="13" t="s">
        <v>37</v>
      </c>
      <c r="I18" s="11" t="s">
        <v>104</v>
      </c>
    </row>
    <row r="19" spans="1:9" ht="27.75" customHeight="1" x14ac:dyDescent="0.45">
      <c r="A19" s="11" t="s">
        <v>18</v>
      </c>
      <c r="B19" s="11" t="s">
        <v>105</v>
      </c>
      <c r="C19" s="11" t="s">
        <v>106</v>
      </c>
      <c r="D19" s="11" t="s">
        <v>107</v>
      </c>
      <c r="E19" s="11" t="s">
        <v>108</v>
      </c>
      <c r="F19" s="11"/>
      <c r="G19" s="12">
        <v>46181</v>
      </c>
      <c r="H19" s="13" t="s">
        <v>37</v>
      </c>
      <c r="I19" s="11" t="s">
        <v>109</v>
      </c>
    </row>
    <row r="20" spans="1:9" ht="41.25" customHeight="1" x14ac:dyDescent="0.45">
      <c r="A20" s="11" t="s">
        <v>18</v>
      </c>
      <c r="B20" s="11" t="s">
        <v>110</v>
      </c>
      <c r="C20" s="11" t="s">
        <v>111</v>
      </c>
      <c r="D20" s="11" t="s">
        <v>112</v>
      </c>
      <c r="E20" s="11" t="s">
        <v>113</v>
      </c>
      <c r="F20" s="11"/>
      <c r="G20" s="12">
        <v>46181</v>
      </c>
      <c r="H20" s="13" t="s">
        <v>37</v>
      </c>
      <c r="I20" s="11"/>
    </row>
    <row r="21" spans="1:9" ht="41.25" customHeight="1" x14ac:dyDescent="0.45">
      <c r="A21" s="11" t="s">
        <v>18</v>
      </c>
      <c r="B21" s="11" t="s">
        <v>114</v>
      </c>
      <c r="C21" s="11" t="s">
        <v>115</v>
      </c>
      <c r="D21" s="11" t="s">
        <v>116</v>
      </c>
      <c r="E21" s="11" t="s">
        <v>117</v>
      </c>
      <c r="F21" s="11"/>
      <c r="G21" s="12">
        <v>46181</v>
      </c>
      <c r="H21" s="13" t="s">
        <v>37</v>
      </c>
      <c r="I21" s="11"/>
    </row>
    <row r="22" spans="1:9" ht="41.25" customHeight="1" x14ac:dyDescent="0.45">
      <c r="A22" s="11" t="s">
        <v>19</v>
      </c>
      <c r="B22" s="11" t="s">
        <v>118</v>
      </c>
      <c r="C22" s="11" t="s">
        <v>119</v>
      </c>
      <c r="D22" s="11" t="s">
        <v>120</v>
      </c>
      <c r="E22" s="11" t="s">
        <v>121</v>
      </c>
      <c r="F22" s="11"/>
      <c r="G22" s="12">
        <v>46181</v>
      </c>
      <c r="H22" s="13" t="s">
        <v>37</v>
      </c>
      <c r="I22" s="11" t="s">
        <v>122</v>
      </c>
    </row>
    <row r="23" spans="1:9" ht="41.25" customHeight="1" x14ac:dyDescent="0.45">
      <c r="A23" s="11" t="s">
        <v>19</v>
      </c>
      <c r="B23" s="11" t="s">
        <v>123</v>
      </c>
      <c r="C23" s="11" t="s">
        <v>124</v>
      </c>
      <c r="D23" s="11" t="s">
        <v>125</v>
      </c>
      <c r="E23" s="11" t="s">
        <v>126</v>
      </c>
      <c r="F23" s="11"/>
      <c r="G23" s="12">
        <v>46181</v>
      </c>
      <c r="H23" s="13" t="s">
        <v>37</v>
      </c>
      <c r="I23" s="11" t="s">
        <v>127</v>
      </c>
    </row>
    <row r="24" spans="1:9" ht="41.25" customHeight="1" x14ac:dyDescent="0.45">
      <c r="A24" s="11" t="s">
        <v>19</v>
      </c>
      <c r="B24" s="11" t="s">
        <v>128</v>
      </c>
      <c r="C24" s="11" t="s">
        <v>129</v>
      </c>
      <c r="D24" s="11" t="s">
        <v>130</v>
      </c>
      <c r="E24" s="11" t="s">
        <v>131</v>
      </c>
      <c r="F24" s="11"/>
      <c r="G24" s="12">
        <v>46181</v>
      </c>
      <c r="H24" s="13" t="s">
        <v>37</v>
      </c>
      <c r="I24" s="11" t="s">
        <v>132</v>
      </c>
    </row>
    <row r="25" spans="1:9" ht="41.25" customHeight="1" x14ac:dyDescent="0.45">
      <c r="A25" s="11" t="s">
        <v>19</v>
      </c>
      <c r="B25" s="11" t="s">
        <v>133</v>
      </c>
      <c r="C25" s="11" t="s">
        <v>134</v>
      </c>
      <c r="D25" s="11" t="s">
        <v>135</v>
      </c>
      <c r="E25" s="11" t="s">
        <v>136</v>
      </c>
      <c r="F25" s="11"/>
      <c r="G25" s="12">
        <v>46181</v>
      </c>
      <c r="H25" s="13" t="s">
        <v>37</v>
      </c>
      <c r="I25" s="11" t="s">
        <v>137</v>
      </c>
    </row>
    <row r="26" spans="1:9" ht="27.75" customHeight="1" x14ac:dyDescent="0.45">
      <c r="A26" s="11" t="s">
        <v>20</v>
      </c>
      <c r="B26" s="11" t="s">
        <v>138</v>
      </c>
      <c r="C26" s="11" t="s">
        <v>139</v>
      </c>
      <c r="D26" s="11" t="s">
        <v>140</v>
      </c>
      <c r="E26" s="11" t="s">
        <v>141</v>
      </c>
      <c r="F26" s="11"/>
      <c r="G26" s="12">
        <v>46181</v>
      </c>
      <c r="H26" s="13" t="s">
        <v>37</v>
      </c>
      <c r="I26" s="11"/>
    </row>
    <row r="27" spans="1:9" ht="27.75" customHeight="1" x14ac:dyDescent="0.45">
      <c r="A27" s="11" t="s">
        <v>20</v>
      </c>
      <c r="B27" s="11" t="s">
        <v>142</v>
      </c>
      <c r="C27" s="11" t="s">
        <v>143</v>
      </c>
      <c r="D27" s="11" t="s">
        <v>144</v>
      </c>
      <c r="E27" s="11" t="s">
        <v>145</v>
      </c>
      <c r="F27" s="11"/>
      <c r="G27" s="12">
        <v>46181</v>
      </c>
      <c r="H27" s="13" t="s">
        <v>37</v>
      </c>
      <c r="I27" s="11"/>
    </row>
    <row r="28" spans="1:9" ht="41.25" customHeight="1" x14ac:dyDescent="0.45">
      <c r="A28" s="11" t="s">
        <v>20</v>
      </c>
      <c r="B28" s="11" t="s">
        <v>146</v>
      </c>
      <c r="C28" s="11" t="s">
        <v>147</v>
      </c>
      <c r="D28" s="11" t="s">
        <v>148</v>
      </c>
      <c r="E28" s="11" t="s">
        <v>149</v>
      </c>
      <c r="F28" s="11"/>
      <c r="G28" s="12">
        <v>46181</v>
      </c>
      <c r="H28" s="13" t="s">
        <v>37</v>
      </c>
      <c r="I28" s="11" t="s">
        <v>150</v>
      </c>
    </row>
    <row r="29" spans="1:9" ht="41.25" customHeight="1" x14ac:dyDescent="0.45">
      <c r="A29" s="11" t="s">
        <v>21</v>
      </c>
      <c r="B29" s="11" t="s">
        <v>151</v>
      </c>
      <c r="C29" s="11" t="s">
        <v>152</v>
      </c>
      <c r="D29" s="11" t="s">
        <v>153</v>
      </c>
      <c r="E29" s="11" t="s">
        <v>154</v>
      </c>
      <c r="F29" s="11"/>
      <c r="G29" s="12">
        <v>46181</v>
      </c>
      <c r="H29" s="13" t="s">
        <v>37</v>
      </c>
      <c r="I29" s="11"/>
    </row>
    <row r="30" spans="1:9" ht="41.25" customHeight="1" x14ac:dyDescent="0.45">
      <c r="A30" s="11" t="s">
        <v>21</v>
      </c>
      <c r="B30" s="11" t="s">
        <v>155</v>
      </c>
      <c r="C30" s="11" t="s">
        <v>156</v>
      </c>
      <c r="D30" s="11" t="s">
        <v>157</v>
      </c>
      <c r="E30" s="11" t="s">
        <v>158</v>
      </c>
      <c r="F30" s="11"/>
      <c r="G30" s="12">
        <v>46181</v>
      </c>
      <c r="H30" s="13" t="s">
        <v>37</v>
      </c>
      <c r="I30" s="11" t="s">
        <v>159</v>
      </c>
    </row>
    <row r="31" spans="1:9" ht="41.25" customHeight="1" x14ac:dyDescent="0.45">
      <c r="A31" s="11" t="s">
        <v>21</v>
      </c>
      <c r="B31" s="11" t="s">
        <v>160</v>
      </c>
      <c r="C31" s="11" t="s">
        <v>161</v>
      </c>
      <c r="D31" s="11" t="s">
        <v>162</v>
      </c>
      <c r="E31" s="11" t="s">
        <v>163</v>
      </c>
      <c r="F31" s="11"/>
      <c r="G31" s="12">
        <v>46181</v>
      </c>
      <c r="H31" s="13" t="s">
        <v>37</v>
      </c>
      <c r="I31" s="11" t="s">
        <v>164</v>
      </c>
    </row>
    <row r="32" spans="1:9" ht="41.25" customHeight="1" x14ac:dyDescent="0.45">
      <c r="A32" s="11" t="s">
        <v>21</v>
      </c>
      <c r="B32" s="11" t="s">
        <v>165</v>
      </c>
      <c r="C32" s="11" t="s">
        <v>166</v>
      </c>
      <c r="D32" s="11" t="s">
        <v>167</v>
      </c>
      <c r="E32" s="11" t="s">
        <v>168</v>
      </c>
      <c r="F32" s="11"/>
      <c r="G32" s="12">
        <v>46181</v>
      </c>
      <c r="H32" s="13" t="s">
        <v>37</v>
      </c>
      <c r="I32" s="11" t="s">
        <v>169</v>
      </c>
    </row>
    <row r="33" spans="1:9" ht="41.25" customHeight="1" x14ac:dyDescent="0.45">
      <c r="A33" s="11" t="s">
        <v>22</v>
      </c>
      <c r="B33" s="11" t="s">
        <v>170</v>
      </c>
      <c r="C33" s="11" t="s">
        <v>171</v>
      </c>
      <c r="D33" s="11" t="s">
        <v>172</v>
      </c>
      <c r="E33" s="11" t="s">
        <v>173</v>
      </c>
      <c r="F33" s="11"/>
      <c r="G33" s="12">
        <v>46181</v>
      </c>
      <c r="H33" s="13" t="s">
        <v>37</v>
      </c>
      <c r="I33" s="11" t="s">
        <v>174</v>
      </c>
    </row>
    <row r="34" spans="1:9" ht="41.25" customHeight="1" x14ac:dyDescent="0.45">
      <c r="A34" s="11" t="s">
        <v>22</v>
      </c>
      <c r="B34" s="11" t="s">
        <v>175</v>
      </c>
      <c r="C34" s="11" t="s">
        <v>176</v>
      </c>
      <c r="D34" s="11" t="s">
        <v>177</v>
      </c>
      <c r="E34" s="11" t="s">
        <v>178</v>
      </c>
      <c r="F34" s="11"/>
      <c r="G34" s="12">
        <v>46181</v>
      </c>
      <c r="H34" s="13" t="s">
        <v>37</v>
      </c>
      <c r="I34" s="11" t="s">
        <v>179</v>
      </c>
    </row>
    <row r="35" spans="1:9" ht="41.25" customHeight="1" x14ac:dyDescent="0.45">
      <c r="A35" s="11" t="s">
        <v>23</v>
      </c>
      <c r="B35" s="11" t="s">
        <v>180</v>
      </c>
      <c r="C35" s="11" t="s">
        <v>181</v>
      </c>
      <c r="D35" s="11" t="s">
        <v>182</v>
      </c>
      <c r="E35" s="11" t="s">
        <v>183</v>
      </c>
      <c r="F35" s="11"/>
      <c r="G35" s="12">
        <v>46181</v>
      </c>
      <c r="H35" s="13" t="s">
        <v>37</v>
      </c>
      <c r="I35" s="11" t="s">
        <v>184</v>
      </c>
    </row>
    <row r="36" spans="1:9" ht="41.25" customHeight="1" x14ac:dyDescent="0.45">
      <c r="A36" s="11" t="s">
        <v>23</v>
      </c>
      <c r="B36" s="11" t="s">
        <v>185</v>
      </c>
      <c r="C36" s="11" t="s">
        <v>186</v>
      </c>
      <c r="D36" s="11" t="s">
        <v>187</v>
      </c>
      <c r="E36" s="11" t="s">
        <v>188</v>
      </c>
      <c r="F36" s="11"/>
      <c r="G36" s="12">
        <v>46181</v>
      </c>
      <c r="H36" s="13" t="s">
        <v>37</v>
      </c>
      <c r="I36" s="11" t="s">
        <v>189</v>
      </c>
    </row>
    <row r="37" spans="1:9" ht="41.25" customHeight="1" x14ac:dyDescent="0.45">
      <c r="A37" s="11" t="s">
        <v>23</v>
      </c>
      <c r="B37" s="11" t="s">
        <v>190</v>
      </c>
      <c r="C37" s="11" t="s">
        <v>191</v>
      </c>
      <c r="D37" s="11" t="s">
        <v>192</v>
      </c>
      <c r="E37" s="11" t="s">
        <v>193</v>
      </c>
      <c r="F37" s="11"/>
      <c r="G37" s="12">
        <v>46181</v>
      </c>
      <c r="H37" s="13" t="s">
        <v>37</v>
      </c>
      <c r="I37" s="11" t="s">
        <v>194</v>
      </c>
    </row>
    <row r="38" spans="1:9" ht="14.25" customHeight="1" x14ac:dyDescent="0.45">
      <c r="A38" s="14"/>
      <c r="B38" s="14"/>
      <c r="C38" s="14"/>
      <c r="D38" s="14"/>
      <c r="E38" s="14"/>
      <c r="F38" s="14"/>
      <c r="G38" s="15"/>
      <c r="H38" s="14"/>
      <c r="I38" s="14"/>
    </row>
    <row r="39" spans="1:9" ht="14.25" customHeight="1" x14ac:dyDescent="0.45">
      <c r="A39" s="14"/>
      <c r="B39" s="14"/>
      <c r="C39" s="14"/>
      <c r="D39" s="14"/>
      <c r="E39" s="14"/>
      <c r="F39" s="14"/>
      <c r="G39" s="15"/>
      <c r="H39" s="14"/>
      <c r="I39" s="14"/>
    </row>
    <row r="40" spans="1:9" ht="14.25" customHeight="1" x14ac:dyDescent="0.45">
      <c r="A40" s="14"/>
      <c r="B40" s="14"/>
      <c r="C40" s="14"/>
      <c r="D40" s="14"/>
      <c r="E40" s="14"/>
      <c r="F40" s="14"/>
      <c r="G40" s="15"/>
      <c r="H40" s="14"/>
      <c r="I40" s="14"/>
    </row>
    <row r="41" spans="1:9" ht="14.25" customHeight="1" x14ac:dyDescent="0.45">
      <c r="A41" s="14"/>
      <c r="B41" s="14"/>
      <c r="C41" s="14"/>
      <c r="D41" s="14"/>
      <c r="E41" s="14"/>
      <c r="F41" s="14"/>
      <c r="G41" s="15"/>
      <c r="H41" s="14"/>
      <c r="I41" s="14"/>
    </row>
    <row r="42" spans="1:9" ht="14.25" customHeight="1" x14ac:dyDescent="0.45">
      <c r="A42" s="14"/>
      <c r="B42" s="14"/>
      <c r="C42" s="14"/>
      <c r="D42" s="14"/>
      <c r="E42" s="14"/>
      <c r="F42" s="14"/>
      <c r="G42" s="15"/>
      <c r="H42" s="14"/>
      <c r="I42" s="14"/>
    </row>
    <row r="43" spans="1:9" ht="14.25" customHeight="1" x14ac:dyDescent="0.45">
      <c r="A43" s="14"/>
      <c r="B43" s="14"/>
      <c r="C43" s="14"/>
      <c r="D43" s="14"/>
      <c r="E43" s="14"/>
      <c r="F43" s="14"/>
      <c r="G43" s="15"/>
      <c r="H43" s="14"/>
      <c r="I43" s="14"/>
    </row>
    <row r="44" spans="1:9" ht="14.25" customHeight="1" x14ac:dyDescent="0.45">
      <c r="A44" s="14"/>
      <c r="B44" s="14"/>
      <c r="C44" s="14"/>
      <c r="D44" s="14"/>
      <c r="E44" s="14"/>
      <c r="F44" s="14"/>
      <c r="G44" s="15"/>
      <c r="H44" s="14"/>
      <c r="I44" s="14"/>
    </row>
    <row r="45" spans="1:9" ht="14.25" customHeight="1" x14ac:dyDescent="0.45">
      <c r="A45" s="14"/>
      <c r="B45" s="14"/>
      <c r="C45" s="14"/>
      <c r="D45" s="14"/>
      <c r="E45" s="14"/>
      <c r="F45" s="14"/>
      <c r="G45" s="15"/>
      <c r="H45" s="14"/>
      <c r="I45" s="14"/>
    </row>
    <row r="46" spans="1:9" ht="14.25" customHeight="1" x14ac:dyDescent="0.45">
      <c r="A46" s="14"/>
      <c r="B46" s="14"/>
      <c r="C46" s="14"/>
      <c r="D46" s="14"/>
      <c r="E46" s="14"/>
      <c r="F46" s="14"/>
      <c r="G46" s="15"/>
      <c r="H46" s="14"/>
      <c r="I46" s="14"/>
    </row>
    <row r="47" spans="1:9" ht="14.25" customHeight="1" x14ac:dyDescent="0.45">
      <c r="A47" s="14"/>
      <c r="B47" s="14"/>
      <c r="C47" s="14"/>
      <c r="D47" s="14"/>
      <c r="E47" s="14"/>
      <c r="F47" s="14"/>
      <c r="G47" s="15"/>
      <c r="H47" s="14"/>
      <c r="I47" s="14"/>
    </row>
    <row r="48" spans="1:9" ht="14.25" customHeight="1" x14ac:dyDescent="0.45">
      <c r="A48" s="14"/>
      <c r="B48" s="14"/>
      <c r="C48" s="14"/>
      <c r="D48" s="14"/>
      <c r="E48" s="14"/>
      <c r="F48" s="14"/>
      <c r="G48" s="15"/>
      <c r="H48" s="14"/>
      <c r="I48" s="14"/>
    </row>
    <row r="49" spans="1:9" ht="14.25" customHeight="1" x14ac:dyDescent="0.45">
      <c r="A49" s="14"/>
      <c r="B49" s="14"/>
      <c r="C49" s="14"/>
      <c r="D49" s="14"/>
      <c r="E49" s="14"/>
      <c r="F49" s="14"/>
      <c r="G49" s="15"/>
      <c r="H49" s="14"/>
      <c r="I49" s="14"/>
    </row>
    <row r="50" spans="1:9" ht="14.25" customHeight="1" x14ac:dyDescent="0.45">
      <c r="A50" s="14"/>
      <c r="B50" s="14"/>
      <c r="C50" s="14"/>
      <c r="D50" s="14"/>
      <c r="E50" s="14"/>
      <c r="F50" s="14"/>
      <c r="G50" s="15"/>
      <c r="H50" s="14"/>
      <c r="I50" s="14"/>
    </row>
    <row r="51" spans="1:9" ht="14.25" customHeight="1" x14ac:dyDescent="0.45">
      <c r="A51" s="14"/>
      <c r="B51" s="14"/>
      <c r="C51" s="14"/>
      <c r="D51" s="14"/>
      <c r="E51" s="14"/>
      <c r="F51" s="14"/>
      <c r="G51" s="15"/>
      <c r="H51" s="14"/>
      <c r="I51" s="14"/>
    </row>
  </sheetData>
  <conditionalFormatting sqref="H3:H51">
    <cfRule type="cellIs" dxfId="2" priority="2" operator="equal">
      <formula>"PENDING"</formula>
    </cfRule>
    <cfRule type="cellIs" dxfId="1" priority="3" operator="equal">
      <formula>"PASS"</formula>
    </cfRule>
    <cfRule type="cellIs" dxfId="0" priority="4" operator="equal">
      <formula>"FAIL"</formula>
    </cfRule>
  </conditionalFormatting>
  <dataValidations count="3">
    <dataValidation type="list" allowBlank="1" showInputMessage="1" showErrorMessage="1" sqref="H38:H51" xr:uid="{00000000-0002-0000-0200-000000000000}">
      <formula1>"PASS,PENDING,FAIL"</formula1>
      <formula2>0</formula2>
    </dataValidation>
    <dataValidation type="list" allowBlank="1" showInputMessage="1" showErrorMessage="1" sqref="A38:A51" xr:uid="{00000000-0002-0000-0200-000001000000}">
      <formula1>INDIRECT("Modulos[MODULOS]")</formula1>
      <formula2>0</formula2>
    </dataValidation>
    <dataValidation type="list" sqref="H3:H37" xr:uid="{00000000-0002-0000-0200-000003000000}">
      <formula1>"PASS,FAIL,PENDING"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200-000002000000}">
          <x14:formula1>
            <xm:f>'Gestion de Modulos'!$A$2:$A$12</xm:f>
          </x14:formula1>
          <x14:formula2>
            <xm:f>0</xm:f>
          </x14:formula2>
          <xm:sqref>A3:A37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4"/>
  <sheetViews>
    <sheetView zoomScaleNormal="100" workbookViewId="0">
      <selection sqref="A1:E1"/>
    </sheetView>
  </sheetViews>
  <sheetFormatPr baseColWidth="10" defaultColWidth="8.53125" defaultRowHeight="14.25" x14ac:dyDescent="0.45"/>
  <cols>
    <col min="1" max="1" width="28" customWidth="1"/>
    <col min="2" max="5" width="14" customWidth="1"/>
  </cols>
  <sheetData>
    <row r="1" spans="1:5" ht="15.4" x14ac:dyDescent="0.45">
      <c r="A1" s="2" t="s">
        <v>195</v>
      </c>
      <c r="B1" s="2"/>
      <c r="C1" s="2"/>
      <c r="D1" s="2"/>
      <c r="E1" s="2"/>
    </row>
    <row r="3" spans="1:5" x14ac:dyDescent="0.45">
      <c r="A3" s="16" t="s">
        <v>196</v>
      </c>
      <c r="B3" s="16" t="s">
        <v>37</v>
      </c>
      <c r="C3" s="16" t="s">
        <v>197</v>
      </c>
      <c r="D3" s="16" t="s">
        <v>198</v>
      </c>
      <c r="E3" s="16" t="s">
        <v>199</v>
      </c>
    </row>
    <row r="4" spans="1:5" x14ac:dyDescent="0.45">
      <c r="A4" s="17" t="s">
        <v>13</v>
      </c>
      <c r="B4" s="18">
        <f>COUNTIFS('Test Plan'!$A:$A,A4,'Test Plan'!$H:$H,"PASS")</f>
        <v>3</v>
      </c>
      <c r="C4" s="18">
        <f>COUNTIFS('Test Plan'!$A:$A,A4,'Test Plan'!$H:$H,"FAIL")</f>
        <v>0</v>
      </c>
      <c r="D4" s="18">
        <f>COUNTIFS('Test Plan'!$A:$A,A4,'Test Plan'!$H:$H,"PENDING")</f>
        <v>0</v>
      </c>
      <c r="E4" s="18">
        <f t="shared" ref="E4:E14" si="0">SUM(B4:D4)</f>
        <v>3</v>
      </c>
    </row>
    <row r="5" spans="1:5" x14ac:dyDescent="0.45">
      <c r="A5" s="17" t="s">
        <v>14</v>
      </c>
      <c r="B5" s="18">
        <f>COUNTIFS('Test Plan'!$A:$A,A5,'Test Plan'!$H:$H,"PASS")</f>
        <v>4</v>
      </c>
      <c r="C5" s="18">
        <f>COUNTIFS('Test Plan'!$A:$A,A5,'Test Plan'!$H:$H,"FAIL")</f>
        <v>0</v>
      </c>
      <c r="D5" s="18">
        <f>COUNTIFS('Test Plan'!$A:$A,A5,'Test Plan'!$H:$H,"PENDING")</f>
        <v>0</v>
      </c>
      <c r="E5" s="18">
        <f t="shared" si="0"/>
        <v>4</v>
      </c>
    </row>
    <row r="6" spans="1:5" x14ac:dyDescent="0.45">
      <c r="A6" s="17" t="s">
        <v>15</v>
      </c>
      <c r="B6" s="18">
        <f>COUNTIFS('Test Plan'!$A:$A,A6,'Test Plan'!$H:$H,"PASS")</f>
        <v>3</v>
      </c>
      <c r="C6" s="18">
        <f>COUNTIFS('Test Plan'!$A:$A,A6,'Test Plan'!$H:$H,"FAIL")</f>
        <v>0</v>
      </c>
      <c r="D6" s="18">
        <f>COUNTIFS('Test Plan'!$A:$A,A6,'Test Plan'!$H:$H,"PENDING")</f>
        <v>0</v>
      </c>
      <c r="E6" s="18">
        <f t="shared" si="0"/>
        <v>3</v>
      </c>
    </row>
    <row r="7" spans="1:5" x14ac:dyDescent="0.45">
      <c r="A7" s="17" t="s">
        <v>16</v>
      </c>
      <c r="B7" s="18">
        <f>COUNTIFS('Test Plan'!$A:$A,A7,'Test Plan'!$H:$H,"PASS")</f>
        <v>3</v>
      </c>
      <c r="C7" s="18">
        <f>COUNTIFS('Test Plan'!$A:$A,A7,'Test Plan'!$H:$H,"FAIL")</f>
        <v>0</v>
      </c>
      <c r="D7" s="18">
        <f>COUNTIFS('Test Plan'!$A:$A,A7,'Test Plan'!$H:$H,"PENDING")</f>
        <v>0</v>
      </c>
      <c r="E7" s="18">
        <f t="shared" si="0"/>
        <v>3</v>
      </c>
    </row>
    <row r="8" spans="1:5" x14ac:dyDescent="0.45">
      <c r="A8" s="17" t="s">
        <v>17</v>
      </c>
      <c r="B8" s="18">
        <f>COUNTIFS('Test Plan'!$A:$A,A8,'Test Plan'!$H:$H,"PASS")</f>
        <v>3</v>
      </c>
      <c r="C8" s="18">
        <f>COUNTIFS('Test Plan'!$A:$A,A8,'Test Plan'!$H:$H,"FAIL")</f>
        <v>0</v>
      </c>
      <c r="D8" s="18">
        <f>COUNTIFS('Test Plan'!$A:$A,A8,'Test Plan'!$H:$H,"PENDING")</f>
        <v>0</v>
      </c>
      <c r="E8" s="18">
        <f t="shared" si="0"/>
        <v>3</v>
      </c>
    </row>
    <row r="9" spans="1:5" x14ac:dyDescent="0.45">
      <c r="A9" s="17" t="s">
        <v>18</v>
      </c>
      <c r="B9" s="18">
        <f>COUNTIFS('Test Plan'!$A:$A,A9,'Test Plan'!$H:$H,"PASS")</f>
        <v>3</v>
      </c>
      <c r="C9" s="18">
        <f>COUNTIFS('Test Plan'!$A:$A,A9,'Test Plan'!$H:$H,"FAIL")</f>
        <v>0</v>
      </c>
      <c r="D9" s="18">
        <f>COUNTIFS('Test Plan'!$A:$A,A9,'Test Plan'!$H:$H,"PENDING")</f>
        <v>0</v>
      </c>
      <c r="E9" s="18">
        <f t="shared" si="0"/>
        <v>3</v>
      </c>
    </row>
    <row r="10" spans="1:5" x14ac:dyDescent="0.45">
      <c r="A10" s="17" t="s">
        <v>19</v>
      </c>
      <c r="B10" s="18">
        <f>COUNTIFS('Test Plan'!$A:$A,A10,'Test Plan'!$H:$H,"PASS")</f>
        <v>4</v>
      </c>
      <c r="C10" s="18">
        <f>COUNTIFS('Test Plan'!$A:$A,A10,'Test Plan'!$H:$H,"FAIL")</f>
        <v>0</v>
      </c>
      <c r="D10" s="18">
        <f>COUNTIFS('Test Plan'!$A:$A,A10,'Test Plan'!$H:$H,"PENDING")</f>
        <v>0</v>
      </c>
      <c r="E10" s="18">
        <f t="shared" si="0"/>
        <v>4</v>
      </c>
    </row>
    <row r="11" spans="1:5" x14ac:dyDescent="0.45">
      <c r="A11" s="17" t="s">
        <v>20</v>
      </c>
      <c r="B11" s="18">
        <f>COUNTIFS('Test Plan'!$A:$A,A11,'Test Plan'!$H:$H,"PASS")</f>
        <v>3</v>
      </c>
      <c r="C11" s="18">
        <f>COUNTIFS('Test Plan'!$A:$A,A11,'Test Plan'!$H:$H,"FAIL")</f>
        <v>0</v>
      </c>
      <c r="D11" s="18">
        <f>COUNTIFS('Test Plan'!$A:$A,A11,'Test Plan'!$H:$H,"PENDING")</f>
        <v>0</v>
      </c>
      <c r="E11" s="18">
        <f t="shared" si="0"/>
        <v>3</v>
      </c>
    </row>
    <row r="12" spans="1:5" x14ac:dyDescent="0.45">
      <c r="A12" s="17" t="s">
        <v>21</v>
      </c>
      <c r="B12" s="18">
        <f>COUNTIFS('Test Plan'!$A:$A,A12,'Test Plan'!$H:$H,"PASS")</f>
        <v>4</v>
      </c>
      <c r="C12" s="18">
        <f>COUNTIFS('Test Plan'!$A:$A,A12,'Test Plan'!$H:$H,"FAIL")</f>
        <v>0</v>
      </c>
      <c r="D12" s="18">
        <f>COUNTIFS('Test Plan'!$A:$A,A12,'Test Plan'!$H:$H,"PENDING")</f>
        <v>0</v>
      </c>
      <c r="E12" s="18">
        <f t="shared" si="0"/>
        <v>4</v>
      </c>
    </row>
    <row r="13" spans="1:5" x14ac:dyDescent="0.45">
      <c r="A13" s="17" t="s">
        <v>22</v>
      </c>
      <c r="B13" s="18">
        <f>COUNTIFS('Test Plan'!$A:$A,A13,'Test Plan'!$H:$H,"PASS")</f>
        <v>2</v>
      </c>
      <c r="C13" s="18">
        <f>COUNTIFS('Test Plan'!$A:$A,A13,'Test Plan'!$H:$H,"FAIL")</f>
        <v>0</v>
      </c>
      <c r="D13" s="18">
        <f>COUNTIFS('Test Plan'!$A:$A,A13,'Test Plan'!$H:$H,"PENDING")</f>
        <v>0</v>
      </c>
      <c r="E13" s="18">
        <f t="shared" si="0"/>
        <v>2</v>
      </c>
    </row>
    <row r="14" spans="1:5" x14ac:dyDescent="0.45">
      <c r="A14" s="17" t="s">
        <v>23</v>
      </c>
      <c r="B14" s="18">
        <f>COUNTIFS('Test Plan'!$A:$A,A14,'Test Plan'!$H:$H,"PASS")</f>
        <v>3</v>
      </c>
      <c r="C14" s="18">
        <f>COUNTIFS('Test Plan'!$A:$A,A14,'Test Plan'!$H:$H,"FAIL")</f>
        <v>0</v>
      </c>
      <c r="D14" s="18">
        <f>COUNTIFS('Test Plan'!$A:$A,A14,'Test Plan'!$H:$H,"PENDING")</f>
        <v>0</v>
      </c>
      <c r="E14" s="18">
        <f t="shared" si="0"/>
        <v>3</v>
      </c>
    </row>
    <row r="15" spans="1:5" x14ac:dyDescent="0.45">
      <c r="A15" s="19" t="s">
        <v>200</v>
      </c>
      <c r="B15" s="20">
        <f>SUM(B4:B14)</f>
        <v>35</v>
      </c>
      <c r="C15" s="20">
        <f>SUM(C4:C14)</f>
        <v>0</v>
      </c>
      <c r="D15" s="20">
        <f>SUM(D4:D14)</f>
        <v>0</v>
      </c>
      <c r="E15" s="20">
        <f>SUM(E4:E14)</f>
        <v>35</v>
      </c>
    </row>
    <row r="18" spans="1:3" ht="15.4" x14ac:dyDescent="0.45">
      <c r="A18" s="2" t="s">
        <v>201</v>
      </c>
      <c r="B18" s="2"/>
      <c r="C18" s="2"/>
    </row>
    <row r="20" spans="1:3" x14ac:dyDescent="0.45">
      <c r="A20" s="16" t="s">
        <v>202</v>
      </c>
      <c r="B20" s="16" t="s">
        <v>203</v>
      </c>
      <c r="C20" s="16" t="s">
        <v>204</v>
      </c>
    </row>
    <row r="21" spans="1:3" x14ac:dyDescent="0.45">
      <c r="A21" s="21" t="s">
        <v>37</v>
      </c>
      <c r="B21" s="18">
        <f>COUNTIF('Test Plan'!$H:$H,"PASS")</f>
        <v>35</v>
      </c>
      <c r="C21" s="22">
        <f>IFERROR(B21/$B$24,0)</f>
        <v>1</v>
      </c>
    </row>
    <row r="22" spans="1:3" x14ac:dyDescent="0.45">
      <c r="A22" s="23" t="s">
        <v>197</v>
      </c>
      <c r="B22" s="18">
        <f>COUNTIF('Test Plan'!$H:$H,"FAIL")</f>
        <v>0</v>
      </c>
      <c r="C22" s="22">
        <f>IFERROR(B22/$B$24,0)</f>
        <v>0</v>
      </c>
    </row>
    <row r="23" spans="1:3" x14ac:dyDescent="0.45">
      <c r="A23" s="24" t="s">
        <v>198</v>
      </c>
      <c r="B23" s="18">
        <f>COUNTIF('Test Plan'!$H:$H,"PENDING")</f>
        <v>0</v>
      </c>
      <c r="C23" s="22">
        <f>IFERROR(B23/$B$24,0)</f>
        <v>0</v>
      </c>
    </row>
    <row r="24" spans="1:3" x14ac:dyDescent="0.45">
      <c r="A24" s="19" t="s">
        <v>205</v>
      </c>
      <c r="B24" s="20">
        <f>SUM(B21:B23)</f>
        <v>35</v>
      </c>
      <c r="C24" s="25">
        <f>SUM(C21:C23)</f>
        <v>1</v>
      </c>
    </row>
  </sheetData>
  <mergeCells count="2">
    <mergeCell ref="A1:E1"/>
    <mergeCell ref="A18:C18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1"/>
  <sheetViews>
    <sheetView showGridLines="0" tabSelected="1" zoomScale="66" zoomScaleNormal="85" workbookViewId="0">
      <selection activeCell="C28" sqref="C28"/>
    </sheetView>
  </sheetViews>
  <sheetFormatPr baseColWidth="10" defaultColWidth="11.3984375" defaultRowHeight="14.25" x14ac:dyDescent="0.45"/>
  <cols>
    <col min="1" max="1" width="25" customWidth="1"/>
    <col min="2" max="2" width="70" customWidth="1"/>
    <col min="3" max="3" width="55" customWidth="1"/>
  </cols>
  <sheetData>
    <row r="1" spans="1:3" ht="15.75" customHeight="1" x14ac:dyDescent="0.45">
      <c r="A1" s="1" t="s">
        <v>206</v>
      </c>
      <c r="B1" s="1"/>
      <c r="C1" s="1"/>
    </row>
    <row r="3" spans="1:3" ht="14.25" customHeight="1" x14ac:dyDescent="0.45">
      <c r="A3" s="9" t="s">
        <v>207</v>
      </c>
      <c r="B3" s="9" t="s">
        <v>208</v>
      </c>
      <c r="C3" s="9" t="s">
        <v>209</v>
      </c>
    </row>
    <row r="4" spans="1:3" ht="27.75" customHeight="1" x14ac:dyDescent="0.45">
      <c r="A4" s="26" t="s">
        <v>210</v>
      </c>
      <c r="B4" s="11" t="s">
        <v>211</v>
      </c>
      <c r="C4" s="11" t="s">
        <v>212</v>
      </c>
    </row>
    <row r="5" spans="1:3" ht="27.75" customHeight="1" x14ac:dyDescent="0.45">
      <c r="A5" s="26" t="s">
        <v>213</v>
      </c>
      <c r="B5" s="11" t="s">
        <v>214</v>
      </c>
      <c r="C5" s="11" t="s">
        <v>215</v>
      </c>
    </row>
    <row r="6" spans="1:3" ht="41.25" customHeight="1" x14ac:dyDescent="0.45">
      <c r="A6" s="26" t="s">
        <v>216</v>
      </c>
      <c r="B6" s="11" t="s">
        <v>217</v>
      </c>
      <c r="C6" s="11" t="s">
        <v>218</v>
      </c>
    </row>
    <row r="7" spans="1:3" ht="41.25" customHeight="1" x14ac:dyDescent="0.45">
      <c r="A7" s="26" t="s">
        <v>219</v>
      </c>
      <c r="B7" s="11" t="s">
        <v>220</v>
      </c>
      <c r="C7" s="11" t="s">
        <v>221</v>
      </c>
    </row>
    <row r="8" spans="1:3" ht="27.75" customHeight="1" x14ac:dyDescent="0.45">
      <c r="A8" s="26" t="s">
        <v>222</v>
      </c>
      <c r="B8" s="11" t="s">
        <v>223</v>
      </c>
      <c r="C8" s="11" t="s">
        <v>224</v>
      </c>
    </row>
    <row r="9" spans="1:3" ht="27.75" customHeight="1" x14ac:dyDescent="0.45">
      <c r="A9" s="26" t="s">
        <v>225</v>
      </c>
      <c r="B9" s="11" t="s">
        <v>226</v>
      </c>
      <c r="C9" s="11" t="s">
        <v>227</v>
      </c>
    </row>
    <row r="10" spans="1:3" ht="27.75" customHeight="1" x14ac:dyDescent="0.45">
      <c r="A10" s="26" t="s">
        <v>228</v>
      </c>
      <c r="B10" s="11" t="s">
        <v>229</v>
      </c>
      <c r="C10" s="11" t="s">
        <v>230</v>
      </c>
    </row>
    <row r="11" spans="1:3" ht="41.25" customHeight="1" x14ac:dyDescent="0.45">
      <c r="A11" s="26" t="s">
        <v>231</v>
      </c>
      <c r="B11" s="11" t="s">
        <v>232</v>
      </c>
      <c r="C11" s="11" t="s">
        <v>233</v>
      </c>
    </row>
  </sheetData>
  <mergeCells count="1">
    <mergeCell ref="A1:C1"/>
  </mergeCells>
  <pageMargins left="0.7" right="0.7" top="0.75" bottom="0.75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Equipo</vt:lpstr>
      <vt:lpstr>Gestion de Modulos</vt:lpstr>
      <vt:lpstr>Test Plan</vt:lpstr>
      <vt:lpstr>Stats</vt:lpstr>
      <vt:lpstr>Tipos de Pruebas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Gonzalo Alarcon Roldan</dc:creator>
  <dc:description/>
  <cp:lastModifiedBy>Jean Marco Mendoza Aliaga</cp:lastModifiedBy>
  <cp:revision>1</cp:revision>
  <dcterms:created xsi:type="dcterms:W3CDTF">2025-04-23T00:47:31Z</dcterms:created>
  <dcterms:modified xsi:type="dcterms:W3CDTF">2026-06-11T14:19:28Z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0x010100535EE4F9F2932144BB7862480CFA843A</vt:lpwstr>
  </property>
</Properties>
</file>